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Position &amp; Yield" sheetId="2" r:id="rId5"/>
    <sheet state="visible" name="StressTests" sheetId="3" r:id="rId6"/>
    <sheet state="visible" name="RiskDashboard" sheetId="4" r:id="rId7"/>
    <sheet state="visible" name="Notes" sheetId="5" r:id="rId8"/>
  </sheets>
  <definedNames/>
  <calcPr/>
</workbook>
</file>

<file path=xl/sharedStrings.xml><?xml version="1.0" encoding="utf-8"?>
<sst xmlns="http://schemas.openxmlformats.org/spreadsheetml/2006/main" count="103" uniqueCount="96">
  <si>
    <t>USDe / sUSDe Delta-Neutral Model — Assumptions</t>
  </si>
  <si>
    <t>Input</t>
  </si>
  <si>
    <t>Value</t>
  </si>
  <si>
    <t>Notes</t>
  </si>
  <si>
    <t>As of Date</t>
  </si>
  <si>
    <t>2025-09-15</t>
  </si>
  <si>
    <t>Model date stamp</t>
  </si>
  <si>
    <t>Capital (USD)</t>
  </si>
  <si>
    <t>Deployable capital for the strategy</t>
  </si>
  <si>
    <t>Mint Path</t>
  </si>
  <si>
    <t>Primary</t>
  </si>
  <si>
    <t>Primary/Secondary (direct mint vs. market acquisition)</t>
  </si>
  <si>
    <t>Base Asset</t>
  </si>
  <si>
    <t>sUSDe</t>
  </si>
  <si>
    <t>USDe or sUSDe held</t>
  </si>
  <si>
    <t>sUSDe Boost On/Off</t>
  </si>
  <si>
    <t>On</t>
  </si>
  <si>
    <t>Toggle reward-accruing sUSDe (On/Off)</t>
  </si>
  <si>
    <t>ETH Staking APR (structural)</t>
  </si>
  <si>
    <t>Long-run ETH staking APR (31 bps = 3.1%)</t>
  </si>
  <si>
    <t>Funding APY (base case)</t>
  </si>
  <si>
    <t>Annualized perp funding captured by short hedge (10% default)</t>
  </si>
  <si>
    <t>Funding APY (bear case)</t>
  </si>
  <si>
    <t>Annualized funding paid by shorts in bear case (-2%)</t>
  </si>
  <si>
    <t>Funding APY (bull case)</t>
  </si>
  <si>
    <t>Annualized funding in bull case (+18%)</t>
  </si>
  <si>
    <t>Protocol/Custody Fee (annual)</t>
  </si>
  <si>
    <t>Blended custody/off-exchange/ops fee assumption</t>
  </si>
  <si>
    <t>Execution/Gas Slippage (bps)</t>
  </si>
  <si>
    <t>One-time slippage for mint/redeem (basis points)</t>
  </si>
  <si>
    <t>Expected Holding Period (days)</t>
  </si>
  <si>
    <t>Planned duration before reassessment/exit</t>
  </si>
  <si>
    <t>Utilization (capital actually deployed)</t>
  </si>
  <si>
    <t>Allow for operational cash buffer</t>
  </si>
  <si>
    <t>Reserve/Insurance Buffer (%)</t>
  </si>
  <si>
    <t>Conservative haircut for tail risks / reserves</t>
  </si>
  <si>
    <t>Position Sizing &amp; Expected Yield</t>
  </si>
  <si>
    <t>Metric</t>
  </si>
  <si>
    <t>Utilization</t>
  </si>
  <si>
    <t>Deployed Capital (USD)</t>
  </si>
  <si>
    <t>Capital actually deployed into USDe/sUSDe</t>
  </si>
  <si>
    <t>One-time Slippage (bps)</t>
  </si>
  <si>
    <t>Slippage Cost (USD)</t>
  </si>
  <si>
    <t>One-off execution cost</t>
  </si>
  <si>
    <t>Holding Period (days)</t>
  </si>
  <si>
    <t>Holding Period (years)</t>
  </si>
  <si>
    <t>ETH Staking APR</t>
  </si>
  <si>
    <t>Structural source</t>
  </si>
  <si>
    <t>Funding APY (Base)</t>
  </si>
  <si>
    <t>Market-dependent</t>
  </si>
  <si>
    <t>sUSDe Boost On?</t>
  </si>
  <si>
    <t>On/Off toggle read (for clarity)</t>
  </si>
  <si>
    <t>Reserve/Insurance Buffer</t>
  </si>
  <si>
    <t>Gross Yield Components (Annualized)</t>
  </si>
  <si>
    <t>ETH Staking Yield</t>
  </si>
  <si>
    <t>If backing includes staked ETH</t>
  </si>
  <si>
    <t>Funding Yield</t>
  </si>
  <si>
    <t>Perp funding captured by short hedge</t>
  </si>
  <si>
    <t>Total Gross Yield (Annualized)</t>
  </si>
  <si>
    <t>Sum of components</t>
  </si>
  <si>
    <t>Net Yield (after costs)</t>
  </si>
  <si>
    <t>Annualized Net Yield</t>
  </si>
  <si>
    <t>Gross minus annual fees</t>
  </si>
  <si>
    <t>Holding-Period Net Return</t>
  </si>
  <si>
    <t>Pro-rata yield minus fees, slippage, and reserve buffer</t>
  </si>
  <si>
    <t>Stress Tests — Funding &amp; Slippage Sensitivity</t>
  </si>
  <si>
    <t>Funding APY</t>
  </si>
  <si>
    <t>Annual Fee</t>
  </si>
  <si>
    <t>Holding (yrs)</t>
  </si>
  <si>
    <t>Slippage ($)</t>
  </si>
  <si>
    <t>Reserve Buffer</t>
  </si>
  <si>
    <t>Risk Dashboard — Qualitative Scoring (1=Low, 5=High)</t>
  </si>
  <si>
    <t>Risk Category</t>
  </si>
  <si>
    <t>Score (1-5)</t>
  </si>
  <si>
    <t>Notes / Mitigants</t>
  </si>
  <si>
    <t>Funding Rate Volatility</t>
  </si>
  <si>
    <t>Monitor 7DMA funding; reduce exposure when negative</t>
  </si>
  <si>
    <t>Counterparty/CEX Risk</t>
  </si>
  <si>
    <t>Prefer off-exchange custody; diversify venues</t>
  </si>
  <si>
    <t>Smart Contract Risk</t>
  </si>
  <si>
    <t>Audit review; bug bounties; insurance where possible</t>
  </si>
  <si>
    <t>Liquidity/Redemption Risk</t>
  </si>
  <si>
    <t>Track USDe secondary liquidity + mint queues</t>
  </si>
  <si>
    <t>Oracle/Operational Risk</t>
  </si>
  <si>
    <t>Alerting; runbooks; perform dry-run migrations</t>
  </si>
  <si>
    <t>Regulatory/Compliance</t>
  </si>
  <si>
    <t>Sanctions/KYC policies; jurisdictional fit; tax</t>
  </si>
  <si>
    <t>Market Gap Risk (Hedge Slippage)</t>
  </si>
  <si>
    <t>Use conservative sizing; crisis playbook</t>
  </si>
  <si>
    <t>Notes, Glossary &amp; Caveats</t>
  </si>
  <si>
    <t>• This model approximates the economics of a delta-neutral USDe/sUSDe strategy (Ethena).</t>
  </si>
  <si>
    <t>• Yield sources: ETH staking APR (structural) + perpetual funding (market-dependent).</t>
  </si>
  <si>
    <t>• Perpetual funding varies; past positivity does not guarantee future results.</t>
  </si>
  <si>
    <t>• Costs include custody/ops fees, slippage, and a reserve haircut for tail risk.</t>
  </si>
  <si>
    <t>• StressTests tab lets you explore negative funding scenarios and fee spikes.</t>
  </si>
  <si>
    <t>• Always verify live yields, mint/redeem fees, and venue-specific terms before deployment.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</si>
</sst>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0.000"/>
  </numFmts>
  <fonts count="8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Fill="1" applyFont="1"/>
    <xf borderId="0" fillId="3" fontId="3" numFmtId="0" xfId="0" applyAlignment="1" applyFont="1">
      <alignment horizontal="left"/>
    </xf>
    <xf borderId="0" fillId="3" fontId="4" numFmtId="0" xfId="0" applyAlignment="1" applyFont="1">
      <alignment horizontal="left"/>
    </xf>
    <xf borderId="0" fillId="3" fontId="3" numFmtId="164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2" fontId="2" numFmtId="0" xfId="0" applyFont="1"/>
    <xf borderId="0" fillId="3" fontId="4" numFmtId="164" xfId="0" applyAlignment="1" applyFont="1" applyNumberFormat="1">
      <alignment horizontal="left"/>
    </xf>
    <xf borderId="0" fillId="3" fontId="4" numFmtId="165" xfId="0" applyAlignment="1" applyFont="1" applyNumberFormat="1">
      <alignment horizontal="left"/>
    </xf>
    <xf borderId="0" fillId="3" fontId="4" numFmtId="2" xfId="0" applyAlignment="1" applyFont="1" applyNumberFormat="1">
      <alignment horizontal="left"/>
    </xf>
    <xf borderId="0" fillId="2" fontId="5" numFmtId="0" xfId="0" applyAlignment="1" applyFont="1">
      <alignment horizontal="center"/>
    </xf>
    <xf borderId="0" fillId="3" fontId="2" numFmtId="0" xfId="0" applyAlignment="1" applyFont="1">
      <alignment horizontal="left"/>
    </xf>
    <xf borderId="0" fillId="2" fontId="2" numFmtId="0" xfId="0" applyAlignment="1" applyFont="1">
      <alignment horizontal="left"/>
    </xf>
    <xf borderId="0" fillId="2" fontId="6" numFmtId="2" xfId="0" applyAlignment="1" applyFont="1" applyNumberFormat="1">
      <alignment horizontal="left"/>
    </xf>
    <xf borderId="0" fillId="2" fontId="4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3" fontId="4" numFmtId="2" xfId="0" applyAlignment="1" applyFont="1" applyNumberFormat="1">
      <alignment horizontal="left" readingOrder="0"/>
    </xf>
    <xf borderId="0" fillId="3" fontId="4" numFmtId="166" xfId="0" applyAlignment="1" applyFont="1" applyNumberFormat="1">
      <alignment horizontal="left"/>
    </xf>
    <xf borderId="0" fillId="3" fontId="7" numFmtId="0" xfId="0" applyAlignment="1" applyFont="1">
      <alignment horizontal="left"/>
    </xf>
    <xf borderId="0" fillId="3" fontId="7" numFmtId="164" xfId="0" applyAlignment="1" applyFont="1" applyNumberFormat="1">
      <alignment horizontal="left"/>
    </xf>
    <xf borderId="0" fillId="3" fontId="7" numFmtId="2" xfId="0" applyAlignment="1" applyFont="1" applyNumberFormat="1">
      <alignment horizontal="left" readingOrder="0"/>
    </xf>
    <xf borderId="0" fillId="3" fontId="7" numFmtId="165" xfId="0" applyAlignment="1" applyFont="1" applyNumberFormat="1">
      <alignment horizontal="left"/>
    </xf>
    <xf borderId="0" fillId="3" fontId="7" numFmtId="166" xfId="0" applyAlignment="1" applyFont="1" applyNumberFormat="1">
      <alignment horizontal="left"/>
    </xf>
    <xf borderId="0" fillId="0" fontId="1" numFmtId="0" xfId="0" applyFont="1"/>
    <xf borderId="0" fillId="2" fontId="1" numFmtId="0" xfId="0" applyFont="1"/>
    <xf borderId="0" fillId="0" fontId="4" numFmtId="0" xfId="0" applyAlignment="1" applyFont="1">
      <alignment shrinkToFit="0" wrapText="1"/>
    </xf>
    <xf borderId="0" fillId="3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8.14"/>
    <col customWidth="1" min="3" max="3" width="55.57"/>
    <col customWidth="1" min="4" max="5" width="28.0"/>
    <col customWidth="1" min="6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 t="s">
        <v>5</v>
      </c>
      <c r="C3" s="4" t="s">
        <v>6</v>
      </c>
    </row>
    <row r="4">
      <c r="A4" s="3" t="s">
        <v>7</v>
      </c>
      <c r="B4" s="5">
        <v>10000.0</v>
      </c>
      <c r="C4" s="4" t="s">
        <v>8</v>
      </c>
    </row>
    <row r="5">
      <c r="A5" s="3" t="s">
        <v>9</v>
      </c>
      <c r="B5" s="6" t="s">
        <v>10</v>
      </c>
      <c r="C5" s="4" t="s">
        <v>11</v>
      </c>
    </row>
    <row r="6">
      <c r="A6" s="3" t="s">
        <v>12</v>
      </c>
      <c r="B6" s="7" t="s">
        <v>13</v>
      </c>
      <c r="C6" s="4" t="s">
        <v>14</v>
      </c>
    </row>
    <row r="7">
      <c r="A7" s="3" t="s">
        <v>15</v>
      </c>
      <c r="B7" s="6" t="s">
        <v>16</v>
      </c>
      <c r="C7" s="4" t="s">
        <v>17</v>
      </c>
    </row>
    <row r="8">
      <c r="A8" s="3" t="s">
        <v>18</v>
      </c>
      <c r="B8" s="4">
        <v>0.031</v>
      </c>
      <c r="C8" s="4" t="s">
        <v>19</v>
      </c>
    </row>
    <row r="9">
      <c r="A9" s="3" t="s">
        <v>20</v>
      </c>
      <c r="B9" s="4">
        <v>0.1</v>
      </c>
      <c r="C9" s="4" t="s">
        <v>21</v>
      </c>
    </row>
    <row r="10">
      <c r="A10" s="3" t="s">
        <v>22</v>
      </c>
      <c r="B10" s="4">
        <v>-0.02</v>
      </c>
      <c r="C10" s="4" t="s">
        <v>23</v>
      </c>
    </row>
    <row r="11">
      <c r="A11" s="3" t="s">
        <v>24</v>
      </c>
      <c r="B11" s="4">
        <v>0.18</v>
      </c>
      <c r="C11" s="4" t="s">
        <v>25</v>
      </c>
    </row>
    <row r="12">
      <c r="A12" s="3" t="s">
        <v>26</v>
      </c>
      <c r="B12" s="4">
        <v>0.005</v>
      </c>
      <c r="C12" s="4" t="s">
        <v>27</v>
      </c>
    </row>
    <row r="13">
      <c r="A13" s="3" t="s">
        <v>28</v>
      </c>
      <c r="B13" s="4">
        <v>10.0</v>
      </c>
      <c r="C13" s="4" t="s">
        <v>29</v>
      </c>
    </row>
    <row r="14">
      <c r="A14" s="3" t="s">
        <v>30</v>
      </c>
      <c r="B14" s="4">
        <v>90.0</v>
      </c>
      <c r="C14" s="4" t="s">
        <v>31</v>
      </c>
    </row>
    <row r="15">
      <c r="A15" s="3" t="s">
        <v>32</v>
      </c>
      <c r="B15" s="4">
        <v>0.98</v>
      </c>
      <c r="C15" s="4" t="s">
        <v>33</v>
      </c>
    </row>
    <row r="16">
      <c r="A16" s="3" t="s">
        <v>34</v>
      </c>
      <c r="B16" s="4">
        <v>0.02</v>
      </c>
      <c r="C16" s="4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howErrorMessage="1" sqref="B5">
      <formula1>"Primary,Secondary"</formula1>
    </dataValidation>
    <dataValidation type="list" allowBlank="1" showErrorMessage="1" sqref="B7">
      <formula1>"On,Off"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43"/>
    <col customWidth="1" min="3" max="3" width="46.86"/>
    <col customWidth="1" min="4" max="5" width="28.0"/>
    <col customWidth="1" min="6" max="26" width="8.71"/>
  </cols>
  <sheetData>
    <row r="1">
      <c r="A1" s="1" t="s">
        <v>36</v>
      </c>
    </row>
    <row r="2">
      <c r="A2" s="8" t="s">
        <v>37</v>
      </c>
      <c r="B2" s="8" t="s">
        <v>2</v>
      </c>
      <c r="C2" s="8" t="s">
        <v>3</v>
      </c>
    </row>
    <row r="3">
      <c r="A3" s="3" t="s">
        <v>7</v>
      </c>
      <c r="B3" s="9">
        <f>Assumptions!B4</f>
        <v>10000</v>
      </c>
      <c r="C3" s="4"/>
    </row>
    <row r="4">
      <c r="A4" s="3" t="s">
        <v>38</v>
      </c>
      <c r="B4" s="4">
        <f>Assumptions!B15</f>
        <v>0.98</v>
      </c>
      <c r="C4" s="4"/>
    </row>
    <row r="5">
      <c r="A5" s="3" t="s">
        <v>39</v>
      </c>
      <c r="B5" s="9">
        <f>B3*B4</f>
        <v>9800</v>
      </c>
      <c r="C5" s="4" t="s">
        <v>40</v>
      </c>
    </row>
    <row r="6">
      <c r="A6" s="3" t="s">
        <v>41</v>
      </c>
      <c r="B6" s="4">
        <f>Assumptions!B13</f>
        <v>10</v>
      </c>
      <c r="C6" s="4"/>
    </row>
    <row r="7">
      <c r="A7" s="3" t="s">
        <v>42</v>
      </c>
      <c r="B7" s="10">
        <f>B5*B6*0.0001</f>
        <v>9.8</v>
      </c>
      <c r="C7" s="4" t="s">
        <v>43</v>
      </c>
    </row>
    <row r="8">
      <c r="A8" s="3" t="s">
        <v>26</v>
      </c>
      <c r="B8" s="4">
        <f>Assumptions!B12</f>
        <v>0.005</v>
      </c>
      <c r="C8" s="4"/>
    </row>
    <row r="9">
      <c r="A9" s="3" t="s">
        <v>44</v>
      </c>
      <c r="B9" s="4">
        <f>Assumptions!B14</f>
        <v>90</v>
      </c>
      <c r="C9" s="4"/>
    </row>
    <row r="10">
      <c r="A10" s="3" t="s">
        <v>45</v>
      </c>
      <c r="B10" s="11">
        <f>B9/365</f>
        <v>0.2465753425</v>
      </c>
      <c r="C10" s="4"/>
    </row>
    <row r="11">
      <c r="A11" s="3" t="s">
        <v>46</v>
      </c>
      <c r="B11" s="4">
        <f>Assumptions!B8</f>
        <v>0.031</v>
      </c>
      <c r="C11" s="4" t="s">
        <v>47</v>
      </c>
    </row>
    <row r="12">
      <c r="A12" s="3" t="s">
        <v>48</v>
      </c>
      <c r="B12" s="4">
        <f>Assumptions!B9</f>
        <v>0.1</v>
      </c>
      <c r="C12" s="4" t="s">
        <v>49</v>
      </c>
    </row>
    <row r="13">
      <c r="A13" s="3" t="s">
        <v>50</v>
      </c>
      <c r="B13" s="4" t="str">
        <f>Assumptions!B7</f>
        <v>On</v>
      </c>
      <c r="C13" s="4" t="s">
        <v>51</v>
      </c>
    </row>
    <row r="14">
      <c r="A14" s="3" t="s">
        <v>52</v>
      </c>
      <c r="B14" s="4">
        <f>Assumptions!B16</f>
        <v>0.02</v>
      </c>
      <c r="C14" s="4"/>
    </row>
    <row r="16">
      <c r="A16" s="12" t="s">
        <v>53</v>
      </c>
    </row>
    <row r="17">
      <c r="A17" s="3" t="s">
        <v>54</v>
      </c>
      <c r="B17" s="4">
        <f t="shared" ref="B17:B18" si="1">B11</f>
        <v>0.031</v>
      </c>
      <c r="C17" s="4" t="s">
        <v>55</v>
      </c>
    </row>
    <row r="18">
      <c r="A18" s="3" t="s">
        <v>56</v>
      </c>
      <c r="B18" s="4">
        <f t="shared" si="1"/>
        <v>0.1</v>
      </c>
      <c r="C18" s="4" t="s">
        <v>57</v>
      </c>
    </row>
    <row r="19">
      <c r="A19" s="13" t="s">
        <v>58</v>
      </c>
      <c r="B19" s="4">
        <f>B17+B18</f>
        <v>0.131</v>
      </c>
      <c r="C19" s="4" t="s">
        <v>59</v>
      </c>
    </row>
    <row r="20" ht="15.75" customHeight="1"/>
    <row r="21" ht="15.75" customHeight="1">
      <c r="A21" s="12" t="s">
        <v>60</v>
      </c>
    </row>
    <row r="22" ht="15.75" customHeight="1">
      <c r="A22" s="3" t="s">
        <v>61</v>
      </c>
      <c r="B22" s="4">
        <f>B19-B8</f>
        <v>0.126</v>
      </c>
      <c r="C22" s="4" t="s">
        <v>62</v>
      </c>
    </row>
    <row r="23" ht="15.75" customHeight="1">
      <c r="A23" s="14" t="s">
        <v>63</v>
      </c>
      <c r="B23" s="15">
        <f>B22*B10-B7/B3-B14</f>
        <v>0.01008849315</v>
      </c>
      <c r="C23" s="16" t="s">
        <v>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C1"/>
    <mergeCell ref="A16:C16"/>
    <mergeCell ref="A21:C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7.71"/>
    <col customWidth="1" min="3" max="4" width="14.14"/>
    <col customWidth="1" min="5" max="5" width="13.43"/>
    <col customWidth="1" min="6" max="6" width="13.86"/>
    <col customWidth="1" min="7" max="7" width="15.43"/>
    <col customWidth="1" min="8" max="8" width="25.14"/>
    <col customWidth="1" min="9" max="28" width="8.71"/>
  </cols>
  <sheetData>
    <row r="1">
      <c r="A1" s="1" t="s">
        <v>65</v>
      </c>
    </row>
    <row r="2">
      <c r="A2" s="14" t="s">
        <v>66</v>
      </c>
      <c r="B2" s="17" t="s">
        <v>54</v>
      </c>
      <c r="C2" s="14" t="s">
        <v>7</v>
      </c>
      <c r="D2" s="14" t="s">
        <v>67</v>
      </c>
      <c r="E2" s="14" t="s">
        <v>68</v>
      </c>
      <c r="F2" s="17" t="s">
        <v>69</v>
      </c>
      <c r="G2" s="14" t="s">
        <v>70</v>
      </c>
      <c r="H2" s="14" t="s">
        <v>63</v>
      </c>
    </row>
    <row r="3">
      <c r="A3" s="4">
        <v>-0.05</v>
      </c>
      <c r="B3" s="4">
        <f>Assumptions!$B$8</f>
        <v>0.031</v>
      </c>
      <c r="C3" s="9">
        <f>'Position &amp; Yield'!$B$3</f>
        <v>10000</v>
      </c>
      <c r="D3" s="4">
        <f>Assumptions!$B$12</f>
        <v>0.005</v>
      </c>
      <c r="E3" s="18">
        <f>'Position &amp; Yield'!$B$10</f>
        <v>0.2465753425</v>
      </c>
      <c r="F3" s="10">
        <f>'Position &amp; Yield'!$B$7</f>
        <v>9.8</v>
      </c>
      <c r="G3" s="4">
        <f>Assumptions!$B$16</f>
        <v>0.02</v>
      </c>
      <c r="H3" s="19">
        <f t="shared" ref="H3:H9" si="1">(B3+A3-D3)*E3-F3/C3-G3</f>
        <v>-0.02689780822</v>
      </c>
    </row>
    <row r="4">
      <c r="A4" s="4">
        <v>-0.02</v>
      </c>
      <c r="B4" s="4">
        <f>Assumptions!$B$8</f>
        <v>0.031</v>
      </c>
      <c r="C4" s="9">
        <f>'Position &amp; Yield'!$B$3</f>
        <v>10000</v>
      </c>
      <c r="D4" s="4">
        <f>Assumptions!$B$12</f>
        <v>0.005</v>
      </c>
      <c r="E4" s="18">
        <f>'Position &amp; Yield'!$B$10</f>
        <v>0.2465753425</v>
      </c>
      <c r="F4" s="10">
        <f>'Position &amp; Yield'!$B$7</f>
        <v>9.8</v>
      </c>
      <c r="G4" s="4">
        <f>Assumptions!$B$16</f>
        <v>0.02</v>
      </c>
      <c r="H4" s="19">
        <f t="shared" si="1"/>
        <v>-0.01950054795</v>
      </c>
    </row>
    <row r="5">
      <c r="A5" s="4">
        <v>0.0</v>
      </c>
      <c r="B5" s="4">
        <f>Assumptions!$B$8</f>
        <v>0.031</v>
      </c>
      <c r="C5" s="9">
        <f>'Position &amp; Yield'!$B$3</f>
        <v>10000</v>
      </c>
      <c r="D5" s="4">
        <f>Assumptions!$B$12</f>
        <v>0.005</v>
      </c>
      <c r="E5" s="18">
        <f>'Position &amp; Yield'!$B$10</f>
        <v>0.2465753425</v>
      </c>
      <c r="F5" s="10">
        <f>'Position &amp; Yield'!$B$7</f>
        <v>9.8</v>
      </c>
      <c r="G5" s="4">
        <f>Assumptions!$B$16</f>
        <v>0.02</v>
      </c>
      <c r="H5" s="19">
        <f t="shared" si="1"/>
        <v>-0.0145690411</v>
      </c>
    </row>
    <row r="6">
      <c r="A6" s="4">
        <v>0.05</v>
      </c>
      <c r="B6" s="4">
        <f>Assumptions!$B$8</f>
        <v>0.031</v>
      </c>
      <c r="C6" s="9">
        <f>'Position &amp; Yield'!$B$3</f>
        <v>10000</v>
      </c>
      <c r="D6" s="4">
        <f>Assumptions!$B$12</f>
        <v>0.005</v>
      </c>
      <c r="E6" s="18">
        <f>'Position &amp; Yield'!$B$10</f>
        <v>0.2465753425</v>
      </c>
      <c r="F6" s="10">
        <f>'Position &amp; Yield'!$B$7</f>
        <v>9.8</v>
      </c>
      <c r="G6" s="4">
        <f>Assumptions!$B$16</f>
        <v>0.02</v>
      </c>
      <c r="H6" s="19">
        <f t="shared" si="1"/>
        <v>-0.002240273973</v>
      </c>
    </row>
    <row r="7">
      <c r="A7" s="20">
        <v>0.1</v>
      </c>
      <c r="B7" s="20">
        <f>Assumptions!$B$8</f>
        <v>0.031</v>
      </c>
      <c r="C7" s="21">
        <f>'Position &amp; Yield'!$B$3</f>
        <v>10000</v>
      </c>
      <c r="D7" s="20">
        <f>Assumptions!$B$12</f>
        <v>0.005</v>
      </c>
      <c r="E7" s="22">
        <f>'Position &amp; Yield'!$B$10</f>
        <v>0.2465753425</v>
      </c>
      <c r="F7" s="23">
        <f>'Position &amp; Yield'!$B$7</f>
        <v>9.8</v>
      </c>
      <c r="G7" s="20">
        <f>Assumptions!$B$16</f>
        <v>0.02</v>
      </c>
      <c r="H7" s="24">
        <f t="shared" si="1"/>
        <v>0.01008849315</v>
      </c>
    </row>
    <row r="8">
      <c r="A8" s="4">
        <v>0.15</v>
      </c>
      <c r="B8" s="4">
        <f>Assumptions!$B$8</f>
        <v>0.031</v>
      </c>
      <c r="C8" s="9">
        <f>'Position &amp; Yield'!$B$3</f>
        <v>10000</v>
      </c>
      <c r="D8" s="4">
        <f>Assumptions!$B$12</f>
        <v>0.005</v>
      </c>
      <c r="E8" s="18">
        <f>'Position &amp; Yield'!$B$10</f>
        <v>0.2465753425</v>
      </c>
      <c r="F8" s="10">
        <f>'Position &amp; Yield'!$B$7</f>
        <v>9.8</v>
      </c>
      <c r="G8" s="4">
        <f>Assumptions!$B$16</f>
        <v>0.02</v>
      </c>
      <c r="H8" s="19">
        <f t="shared" si="1"/>
        <v>0.02241726027</v>
      </c>
    </row>
    <row r="9">
      <c r="A9" s="4">
        <v>0.2</v>
      </c>
      <c r="B9" s="4">
        <f>Assumptions!$B$8</f>
        <v>0.031</v>
      </c>
      <c r="C9" s="9">
        <f>'Position &amp; Yield'!$B$3</f>
        <v>10000</v>
      </c>
      <c r="D9" s="4">
        <f>Assumptions!$B$12</f>
        <v>0.005</v>
      </c>
      <c r="E9" s="18">
        <f>'Position &amp; Yield'!$B$10</f>
        <v>0.2465753425</v>
      </c>
      <c r="F9" s="10">
        <f>'Position &amp; Yield'!$B$7</f>
        <v>9.8</v>
      </c>
      <c r="G9" s="4">
        <f>Assumptions!$B$16</f>
        <v>0.02</v>
      </c>
      <c r="H9" s="19">
        <f t="shared" si="1"/>
        <v>0.0347460274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7.14"/>
    <col customWidth="1" min="3" max="3" width="50.0"/>
    <col customWidth="1" min="4" max="6" width="28.0"/>
    <col customWidth="1" min="7" max="26" width="8.71"/>
  </cols>
  <sheetData>
    <row r="1">
      <c r="A1" s="1" t="s">
        <v>71</v>
      </c>
    </row>
    <row r="2">
      <c r="A2" s="8" t="s">
        <v>72</v>
      </c>
      <c r="B2" s="8" t="s">
        <v>73</v>
      </c>
      <c r="C2" s="8" t="s">
        <v>74</v>
      </c>
    </row>
    <row r="3">
      <c r="A3" s="13" t="s">
        <v>75</v>
      </c>
      <c r="B3" s="4">
        <v>3.0</v>
      </c>
      <c r="C3" s="4" t="s">
        <v>76</v>
      </c>
    </row>
    <row r="4">
      <c r="A4" s="13" t="s">
        <v>77</v>
      </c>
      <c r="B4" s="4">
        <v>4.0</v>
      </c>
      <c r="C4" s="4" t="s">
        <v>78</v>
      </c>
    </row>
    <row r="5">
      <c r="A5" s="13" t="s">
        <v>79</v>
      </c>
      <c r="B5" s="4">
        <v>3.0</v>
      </c>
      <c r="C5" s="4" t="s">
        <v>80</v>
      </c>
    </row>
    <row r="6">
      <c r="A6" s="13" t="s">
        <v>81</v>
      </c>
      <c r="B6" s="4">
        <v>3.0</v>
      </c>
      <c r="C6" s="4" t="s">
        <v>82</v>
      </c>
    </row>
    <row r="7">
      <c r="A7" s="13" t="s">
        <v>83</v>
      </c>
      <c r="B7" s="4">
        <v>3.0</v>
      </c>
      <c r="C7" s="4" t="s">
        <v>84</v>
      </c>
    </row>
    <row r="8">
      <c r="A8" s="13" t="s">
        <v>85</v>
      </c>
      <c r="B8" s="4">
        <v>4.0</v>
      </c>
      <c r="C8" s="4" t="s">
        <v>86</v>
      </c>
    </row>
    <row r="9">
      <c r="A9" s="13" t="s">
        <v>87</v>
      </c>
      <c r="B9" s="4">
        <v>3.0</v>
      </c>
      <c r="C9" s="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0.29"/>
    <col customWidth="1" min="3" max="7" width="28.0"/>
    <col customWidth="1" min="8" max="27" width="8.71"/>
  </cols>
  <sheetData>
    <row r="1">
      <c r="A1" s="25"/>
      <c r="B1" s="25"/>
    </row>
    <row r="2">
      <c r="A2" s="25"/>
      <c r="B2" s="26" t="s">
        <v>89</v>
      </c>
    </row>
    <row r="3">
      <c r="A3" s="27"/>
      <c r="B3" s="28" t="s">
        <v>90</v>
      </c>
    </row>
    <row r="4">
      <c r="A4" s="27"/>
      <c r="B4" s="28" t="s">
        <v>91</v>
      </c>
    </row>
    <row r="5">
      <c r="A5" s="27"/>
      <c r="B5" s="28" t="s">
        <v>92</v>
      </c>
    </row>
    <row r="6">
      <c r="A6" s="27"/>
      <c r="B6" s="28" t="s">
        <v>93</v>
      </c>
    </row>
    <row r="7">
      <c r="A7" s="27"/>
      <c r="B7" s="28" t="s">
        <v>94</v>
      </c>
    </row>
    <row r="8">
      <c r="A8" s="27"/>
      <c r="B8" s="28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