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Overview" sheetId="1" r:id="rId1"/>
    <sheet name="2-Tokenomics" sheetId="2" r:id="rId2"/>
    <sheet name="3-Ecosystem_Usage" sheetId="3" r:id="rId3"/>
    <sheet name="4-Financials" sheetId="4" r:id="rId4"/>
    <sheet name="5-Risks" sheetId="5" r:id="rId5"/>
    <sheet name="6-Scenarios" sheetId="6" r:id="rId6"/>
    <sheet name="7-Personal_Notes" sheetId="7" r:id="rId7"/>
  </sheets>
  <calcPr calcId="124519" fullCalcOnLoad="1"/>
</workbook>
</file>

<file path=xl/sharedStrings.xml><?xml version="1.0" encoding="utf-8"?>
<sst xmlns="http://schemas.openxmlformats.org/spreadsheetml/2006/main" count="89" uniqueCount="80">
  <si>
    <t>Solana (SOL) — Due Diligence Snapshot</t>
  </si>
  <si>
    <t>As of Sep 17, 2025 (America/Toronto)</t>
  </si>
  <si>
    <t>Metric</t>
  </si>
  <si>
    <t>Value</t>
  </si>
  <si>
    <t>Current Price (USD)</t>
  </si>
  <si>
    <t>Market Cap (USD)</t>
  </si>
  <si>
    <t>Circulating Supply (SOL)</t>
  </si>
  <si>
    <t>Max Supply (SOL)</t>
  </si>
  <si>
    <t>N/A</t>
  </si>
  <si>
    <t>Consensus</t>
  </si>
  <si>
    <t>Proof of History + Proof of Stake (PoH + PoS)</t>
  </si>
  <si>
    <t>Token Type</t>
  </si>
  <si>
    <t>Native L1 (not ERC-20)</t>
  </si>
  <si>
    <t>Real-time TPS (est.)</t>
  </si>
  <si>
    <t>Tokenomics — Inflation &amp; Supply</t>
  </si>
  <si>
    <t>As of Sep 17, 2025 (America/Toronto). Simple projection using current inflation and disinflation path.</t>
  </si>
  <si>
    <t>Parameter</t>
  </si>
  <si>
    <t>Current Annual Inflation</t>
  </si>
  <si>
    <t>Annual Disinflation</t>
  </si>
  <si>
    <t>Long-term Inflation Floor</t>
  </si>
  <si>
    <t>Starting Circulating Supply (SOL)</t>
  </si>
  <si>
    <t>Year</t>
  </si>
  <si>
    <t>Inflation Rate</t>
  </si>
  <si>
    <t>Projected Circulating Supply (SOL)</t>
  </si>
  <si>
    <t>Ecosystem &amp; Usage (last 24h snapshot)</t>
  </si>
  <si>
    <t>As of Sep 17, 2025 (America/Toronto).</t>
  </si>
  <si>
    <t>Active Addresses (24h)</t>
  </si>
  <si>
    <t>Transactions (24h)</t>
  </si>
  <si>
    <t>Avg Transaction Fee (USD)</t>
  </si>
  <si>
    <t>DEXs Volume (24h, USD)</t>
  </si>
  <si>
    <t>Perps Volume (24h, USD)</t>
  </si>
  <si>
    <t>Stablecoins Market Cap (USD)</t>
  </si>
  <si>
    <t>Financial Metrics (Chain-level)</t>
  </si>
  <si>
    <t>Chain Fees (24h, USD)</t>
  </si>
  <si>
    <t>Stablecoins Mcap (USD)</t>
  </si>
  <si>
    <t>Risk Register &amp; Scoring</t>
  </si>
  <si>
    <t>Score each risk 1 (low) to 5 (high). Overall risk auto-calculates.</t>
  </si>
  <si>
    <t>Risk</t>
  </si>
  <si>
    <t>Description</t>
  </si>
  <si>
    <t>Likelihood (1-5)</t>
  </si>
  <si>
    <t>Impact (1-5)</t>
  </si>
  <si>
    <t>Score = L*I</t>
  </si>
  <si>
    <t>Centralization (Validators)</t>
  </si>
  <si>
    <t>Validator concentration &amp; stake distribution.</t>
  </si>
  <si>
    <t>Network Stability</t>
  </si>
  <si>
    <t>Historical outages, congestion, client diversity.</t>
  </si>
  <si>
    <t>Regulatory</t>
  </si>
  <si>
    <t>US/Canada treatment of tokens, stablecoin policies.</t>
  </si>
  <si>
    <t>Smart-Contract</t>
  </si>
  <si>
    <t>Exploit risk in DeFi protocols.</t>
  </si>
  <si>
    <t>Market Liquidity</t>
  </si>
  <si>
    <t>Volatility and slippage for large orders.</t>
  </si>
  <si>
    <t>Custody/Counterparty</t>
  </si>
  <si>
    <t>Exchange risk, bridge risk (wrapped assets).</t>
  </si>
  <si>
    <t>Overall Risk (average of Scores):</t>
  </si>
  <si>
    <t>Scenario Analysis (Bear/Base/Bull)</t>
  </si>
  <si>
    <t>Edit inputs to see ROI and Expected Value.</t>
  </si>
  <si>
    <t>Bear Target Price (USD)</t>
  </si>
  <si>
    <t>Base Target Price (USD)</t>
  </si>
  <si>
    <t>Bull Target Price (USD)</t>
  </si>
  <si>
    <t>Bear Probability</t>
  </si>
  <si>
    <t>Base Probability</t>
  </si>
  <si>
    <t>Bull Probability</t>
  </si>
  <si>
    <t>Holding Period (months)</t>
  </si>
  <si>
    <t>Scenario</t>
  </si>
  <si>
    <t>Target Price</t>
  </si>
  <si>
    <t>ROI %</t>
  </si>
  <si>
    <t>Bear</t>
  </si>
  <si>
    <t>Base</t>
  </si>
  <si>
    <t>Bull</t>
  </si>
  <si>
    <t>Expected Return (prob-weighted)</t>
  </si>
  <si>
    <t>Personal Thesis, Entry/Exit Plan &amp; Journal</t>
  </si>
  <si>
    <t>Thesis (Why SOL?)</t>
  </si>
  <si>
    <t>• Long-term conviction
• Key catalysts to watch (tech upgrades, stablecoin flows, DeFi growth)
• Competitive view vs Ethereum, others</t>
  </si>
  <si>
    <t>Positioning &amp; Risk Controls</t>
  </si>
  <si>
    <t>• DCA schedule:
• Max allocation (% of portfolio):
• Stop-loss / Take-profit rules:
• Custody plan (self-custody vs exchange):</t>
  </si>
  <si>
    <t>Notes / Research Log</t>
  </si>
  <si>
    <t>Date	Source	Key takeaway / Action</t>
  </si>
  <si>
    <t>Notes on Sources:</t>
  </si>
  <si>
    <t>• Price, market cap, circulating supply: CoinMarketCap snapshot.
• Inflation schedule &amp; floor: Solana docs / SolanaCompass.
• TVL, active addresses, volumes, fees: DeFiLlama.
• Average transaction fee (latest weekly avg): TokenTerminal.
• Base fee per signature: Solana docs.
• TPS snapshot: Chainspect.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</si>
</sst>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#,##0"/>
    <numFmt numFmtId="167" formatCode="0.0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/>
    </xf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Circulating Supply Projection (10y)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Circulating Supply (SOL)</c:v>
          </c:tx>
          <c:marker>
            <c:symbol val="none"/>
          </c:marker>
          <c:cat>
            <c:numRef>
              <c:f>'2-Tokenomics'!$D$5:$D$15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'2-Tokenomics'!$F$5:$F$15</c:f>
              <c:numCache>
                <c:formatCode>General</c:formatCode>
                <c:ptCount val="11"/>
                <c:pt idx="0">
                  <c:v>543001131</c:v>
                </c:pt>
                <c:pt idx="1">
                  <c:v>566279589.48597</c:v>
                </c:pt>
                <c:pt idx="2">
                  <c:v>586914534.587044</c:v>
                </c:pt>
                <c:pt idx="3">
                  <c:v>605093375.9426659</c:v>
                </c:pt>
                <c:pt idx="4">
                  <c:v>621023995.2451648</c:v>
                </c:pt>
                <c:pt idx="5">
                  <c:v>634921523.5497371</c:v>
                </c:pt>
                <c:pt idx="6">
                  <c:v>646998776.4826878</c:v>
                </c:pt>
                <c:pt idx="7">
                  <c:v>657459711.3288147</c:v>
                </c:pt>
                <c:pt idx="8">
                  <c:v>667321606.998747</c:v>
                </c:pt>
                <c:pt idx="9">
                  <c:v>677331431.1037282</c:v>
                </c:pt>
                <c:pt idx="10">
                  <c:v>687491402.5702841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 from now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SOL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Ecosystem Snapshot (24h)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Values</c:v>
          </c:tx>
          <c:cat>
            <c:strRef>
              <c:f>'3-Ecosystem_Usage'!$A$5:$A$11</c:f>
              <c:strCache>
                <c:ptCount val="7"/>
                <c:pt idx="0">
                  <c:v>Active Addresses (24h)</c:v>
                </c:pt>
                <c:pt idx="1">
                  <c:v>Transactions (24h)</c:v>
                </c:pt>
                <c:pt idx="2">
                  <c:v>Avg Transaction Fee (USD)</c:v>
                </c:pt>
                <c:pt idx="3">
                  <c:v>DEXs Volume (24h, USD)</c:v>
                </c:pt>
                <c:pt idx="4">
                  <c:v>Perps Volume (24h, USD)</c:v>
                </c:pt>
                <c:pt idx="5">
                  <c:v>Stablecoins Market Cap (USD)</c:v>
                </c:pt>
              </c:strCache>
            </c:strRef>
          </c:cat>
          <c:val>
            <c:numRef>
              <c:f>'3-Ecosystem_Usage'!$B$5:$B$11</c:f>
              <c:numCache>
                <c:formatCode>General</c:formatCode>
                <c:ptCount val="7"/>
                <c:pt idx="0">
                  <c:v>2190000</c:v>
                </c:pt>
                <c:pt idx="1">
                  <c:v>65450000</c:v>
                </c:pt>
                <c:pt idx="2">
                  <c:v>0.0066</c:v>
                </c:pt>
                <c:pt idx="3">
                  <c:v>4332000000</c:v>
                </c:pt>
                <c:pt idx="4">
                  <c:v>1261000000</c:v>
                </c:pt>
                <c:pt idx="5">
                  <c:v>12548000000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Fees, Volumes &amp; Stablecoin Mcap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USD</c:v>
          </c:tx>
          <c:cat>
            <c:strRef>
              <c:f>'4-Financials'!$A$5:$A$9</c:f>
              <c:strCache>
                <c:ptCount val="5"/>
                <c:pt idx="0">
                  <c:v>Chain Fees (24h, USD)</c:v>
                </c:pt>
                <c:pt idx="1">
                  <c:v>DEXs Volume (24h, USD)</c:v>
                </c:pt>
                <c:pt idx="2">
                  <c:v>Perps Volume (24h, USD)</c:v>
                </c:pt>
                <c:pt idx="3">
                  <c:v>Stablecoins Mcap (USD)</c:v>
                </c:pt>
              </c:strCache>
            </c:strRef>
          </c:cat>
          <c:val>
            <c:numRef>
              <c:f>'4-Financials'!$B$5:$B$9</c:f>
              <c:numCache>
                <c:formatCode>General</c:formatCode>
                <c:ptCount val="5"/>
                <c:pt idx="0">
                  <c:v>1760000</c:v>
                </c:pt>
                <c:pt idx="1">
                  <c:v>4332000000</c:v>
                </c:pt>
                <c:pt idx="2">
                  <c:v>1261000000</c:v>
                </c:pt>
                <c:pt idx="3">
                  <c:v>12548000000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 Profile (fill scores 1-5)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v>Likelihood</c:v>
          </c:tx>
          <c:marker>
            <c:symbol val="none"/>
          </c:marker>
          <c:cat>
            <c:strRef>
              <c:f>'5-Risks'!$A$5:$A$10</c:f>
              <c:strCache>
                <c:ptCount val="6"/>
                <c:pt idx="0">
                  <c:v>Centralization (Validators)</c:v>
                </c:pt>
                <c:pt idx="1">
                  <c:v>Network Stability</c:v>
                </c:pt>
                <c:pt idx="2">
                  <c:v>Regulatory</c:v>
                </c:pt>
                <c:pt idx="3">
                  <c:v>Smart-Contract</c:v>
                </c:pt>
                <c:pt idx="4">
                  <c:v>Market Liquidity</c:v>
                </c:pt>
                <c:pt idx="5">
                  <c:v>Custody/Counterparty</c:v>
                </c:pt>
              </c:strCache>
            </c:strRef>
          </c:cat>
          <c:val>
            <c:numRef>
              <c:f>'5-Risks'!$C$5:$C$10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Impact</c:v>
          </c:tx>
          <c:marker>
            <c:symbol val="none"/>
          </c:marker>
          <c:cat>
            <c:strRef>
              <c:f>'5-Risks'!$A$5:$A$10</c:f>
              <c:strCache>
                <c:ptCount val="6"/>
                <c:pt idx="0">
                  <c:v>Centralization (Validators)</c:v>
                </c:pt>
                <c:pt idx="1">
                  <c:v>Network Stability</c:v>
                </c:pt>
                <c:pt idx="2">
                  <c:v>Regulatory</c:v>
                </c:pt>
                <c:pt idx="3">
                  <c:v>Smart-Contract</c:v>
                </c:pt>
                <c:pt idx="4">
                  <c:v>Market Liquidity</c:v>
                </c:pt>
                <c:pt idx="5">
                  <c:v>Custody/Counterparty</c:v>
                </c:pt>
              </c:strCache>
            </c:strRef>
          </c:cat>
          <c:val>
            <c:numRef>
              <c:f>'5-Risks'!$D$5:$D$10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40001"/>
        <c:axId val="50040002"/>
      </c:radarChart>
      <c:catAx>
        <c:axId val="50040001"/>
        <c:scaling>
          <c:orientation val="minMax"/>
        </c:scaling>
        <c:axPos val="b"/>
        <c:majorGridlines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Scenario ROI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ROI %</c:v>
          </c:tx>
          <c:cat>
            <c:strRef>
              <c:f>'6-Scenarios'!$D$5:$D$7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'6-Scenarios'!$F$5:$F$7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0%" sourceLinked="0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457200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457200</xdr:colOff>
      <xdr:row>21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457200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15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35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234.44</v>
      </c>
    </row>
    <row r="6" spans="1:2">
      <c r="A6" s="4" t="s">
        <v>5</v>
      </c>
      <c r="B6" s="6">
        <v>127300732199</v>
      </c>
    </row>
    <row r="7" spans="1:2">
      <c r="A7" s="4" t="s">
        <v>6</v>
      </c>
      <c r="B7" s="7">
        <v>543001131</v>
      </c>
    </row>
    <row r="8" spans="1:2">
      <c r="A8" s="4" t="s">
        <v>7</v>
      </c>
      <c r="B8" s="4" t="s">
        <v>8</v>
      </c>
    </row>
    <row r="9" spans="1:2">
      <c r="A9" s="4" t="s">
        <v>9</v>
      </c>
      <c r="B9" s="4" t="s">
        <v>10</v>
      </c>
    </row>
    <row r="10" spans="1:2">
      <c r="A10" s="4" t="s">
        <v>11</v>
      </c>
      <c r="B10" s="4" t="s">
        <v>12</v>
      </c>
    </row>
    <row r="11" spans="1:2">
      <c r="A11" s="4" t="s">
        <v>13</v>
      </c>
      <c r="B11" s="7">
        <v>926.2</v>
      </c>
    </row>
    <row r="14" spans="1:2">
      <c r="A14" s="3" t="s">
        <v>78</v>
      </c>
    </row>
    <row r="15" spans="1:2">
      <c r="A15" s="8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36.7109375" customWidth="1"/>
    <col min="2" max="2" width="20.7109375" customWidth="1"/>
    <col min="4" max="4" width="10.7109375" customWidth="1"/>
    <col min="5" max="5" width="16.7109375" customWidth="1"/>
    <col min="6" max="6" width="28.7109375" customWidth="1"/>
  </cols>
  <sheetData>
    <row r="1" spans="1:6">
      <c r="A1" s="1" t="s">
        <v>14</v>
      </c>
    </row>
    <row r="2" spans="1:6">
      <c r="A2" s="2" t="s">
        <v>15</v>
      </c>
    </row>
    <row r="4" spans="1:6">
      <c r="A4" s="3" t="s">
        <v>16</v>
      </c>
      <c r="B4" s="3" t="s">
        <v>3</v>
      </c>
      <c r="D4" s="3" t="s">
        <v>21</v>
      </c>
      <c r="E4" s="3" t="s">
        <v>22</v>
      </c>
      <c r="F4" s="3" t="s">
        <v>23</v>
      </c>
    </row>
    <row r="5" spans="1:6">
      <c r="A5" s="4" t="s">
        <v>17</v>
      </c>
      <c r="B5" s="9">
        <v>0.04287</v>
      </c>
      <c r="D5" s="7">
        <v>0</v>
      </c>
      <c r="E5" s="4"/>
      <c r="F5" s="7">
        <v>543001131</v>
      </c>
    </row>
    <row r="6" spans="1:6">
      <c r="A6" s="4" t="s">
        <v>18</v>
      </c>
      <c r="B6" s="9">
        <v>0.15</v>
      </c>
      <c r="D6" s="7">
        <v>1</v>
      </c>
      <c r="E6" s="9">
        <v>0.04287</v>
      </c>
      <c r="F6" s="7">
        <v>566279589.48597</v>
      </c>
    </row>
    <row r="7" spans="1:6">
      <c r="A7" s="4" t="s">
        <v>19</v>
      </c>
      <c r="B7" s="9">
        <v>0.015</v>
      </c>
      <c r="D7" s="7">
        <v>2</v>
      </c>
      <c r="E7" s="9">
        <v>0.0364395</v>
      </c>
      <c r="F7" s="7">
        <v>586914534.587044</v>
      </c>
    </row>
    <row r="8" spans="1:6">
      <c r="A8" s="4" t="s">
        <v>20</v>
      </c>
      <c r="B8" s="7">
        <v>543001131</v>
      </c>
      <c r="D8" s="7">
        <v>3</v>
      </c>
      <c r="E8" s="9">
        <v>0.030973575</v>
      </c>
      <c r="F8" s="7">
        <v>605093375.9426659</v>
      </c>
    </row>
    <row r="9" spans="1:6">
      <c r="D9" s="7">
        <v>4</v>
      </c>
      <c r="E9" s="9">
        <v>0.02632753875</v>
      </c>
      <c r="F9" s="7">
        <v>621023995.2451648</v>
      </c>
    </row>
    <row r="10" spans="1:6">
      <c r="D10" s="7">
        <v>5</v>
      </c>
      <c r="E10" s="9">
        <v>0.0223784079375</v>
      </c>
      <c r="F10" s="7">
        <v>634921523.5497371</v>
      </c>
    </row>
    <row r="11" spans="1:6">
      <c r="D11" s="7">
        <v>6</v>
      </c>
      <c r="E11" s="9">
        <v>0.019021646746875</v>
      </c>
      <c r="F11" s="7">
        <v>646998776.4826878</v>
      </c>
    </row>
    <row r="12" spans="1:6">
      <c r="D12" s="7">
        <v>7</v>
      </c>
      <c r="E12" s="9">
        <v>0.01616839973484375</v>
      </c>
      <c r="F12" s="7">
        <v>657459711.3288147</v>
      </c>
    </row>
    <row r="13" spans="1:6">
      <c r="D13" s="7">
        <v>8</v>
      </c>
      <c r="E13" s="9">
        <v>0.015</v>
      </c>
      <c r="F13" s="7">
        <v>667321606.998747</v>
      </c>
    </row>
    <row r="14" spans="1:6">
      <c r="D14" s="7">
        <v>9</v>
      </c>
      <c r="E14" s="9">
        <v>0.015</v>
      </c>
      <c r="F14" s="7">
        <v>677331431.1037282</v>
      </c>
    </row>
    <row r="15" spans="1:6">
      <c r="D15" s="7">
        <v>10</v>
      </c>
      <c r="E15" s="9">
        <v>0.015</v>
      </c>
      <c r="F15" s="7">
        <v>687491402.5702841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24</v>
      </c>
    </row>
    <row r="2" spans="1:2">
      <c r="A2" s="2" t="s">
        <v>25</v>
      </c>
    </row>
    <row r="4" spans="1:2">
      <c r="A4" s="3" t="s">
        <v>2</v>
      </c>
      <c r="B4" s="3" t="s">
        <v>3</v>
      </c>
    </row>
    <row r="5" spans="1:2">
      <c r="A5" s="4" t="s">
        <v>26</v>
      </c>
      <c r="B5" s="7">
        <v>2190000</v>
      </c>
    </row>
    <row r="6" spans="1:2">
      <c r="A6" s="4" t="s">
        <v>27</v>
      </c>
      <c r="B6" s="7">
        <v>65450000</v>
      </c>
    </row>
    <row r="7" spans="1:2">
      <c r="A7" s="4" t="s">
        <v>28</v>
      </c>
      <c r="B7" s="5">
        <v>0.0066</v>
      </c>
    </row>
    <row r="8" spans="1:2">
      <c r="A8" s="4" t="s">
        <v>29</v>
      </c>
      <c r="B8" s="6">
        <v>4332000000</v>
      </c>
    </row>
    <row r="9" spans="1:2">
      <c r="A9" s="4" t="s">
        <v>30</v>
      </c>
      <c r="B9" s="6">
        <v>1261000000</v>
      </c>
    </row>
    <row r="10" spans="1:2">
      <c r="A10" s="4" t="s">
        <v>31</v>
      </c>
      <c r="B10" s="6">
        <v>12548000000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32</v>
      </c>
    </row>
    <row r="2" spans="1:2">
      <c r="A2" s="2" t="s">
        <v>25</v>
      </c>
    </row>
    <row r="4" spans="1:2">
      <c r="A4" s="3" t="s">
        <v>2</v>
      </c>
      <c r="B4" s="3" t="s">
        <v>3</v>
      </c>
    </row>
    <row r="5" spans="1:2">
      <c r="A5" s="4" t="s">
        <v>33</v>
      </c>
      <c r="B5" s="6">
        <v>1760000</v>
      </c>
    </row>
    <row r="6" spans="1:2">
      <c r="A6" s="4" t="s">
        <v>29</v>
      </c>
      <c r="B6" s="6">
        <v>4332000000</v>
      </c>
    </row>
    <row r="7" spans="1:2">
      <c r="A7" s="4" t="s">
        <v>30</v>
      </c>
      <c r="B7" s="6">
        <v>1261000000</v>
      </c>
    </row>
    <row r="8" spans="1:2">
      <c r="A8" s="4" t="s">
        <v>34</v>
      </c>
      <c r="B8" s="6">
        <v>12548000000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26.7109375" customWidth="1"/>
    <col min="2" max="2" width="60.7109375" customWidth="1"/>
    <col min="3" max="5" width="18.7109375" customWidth="1"/>
  </cols>
  <sheetData>
    <row r="1" spans="1:5">
      <c r="A1" s="1" t="s">
        <v>35</v>
      </c>
    </row>
    <row r="2" spans="1:5">
      <c r="A2" s="2" t="s">
        <v>36</v>
      </c>
    </row>
    <row r="4" spans="1: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</row>
    <row r="5" spans="1:5">
      <c r="A5" s="8" t="s">
        <v>42</v>
      </c>
      <c r="B5" s="8" t="s">
        <v>43</v>
      </c>
      <c r="C5" s="8"/>
      <c r="D5" s="8"/>
      <c r="E5">
        <f>C5*D5</f>
        <v>0</v>
      </c>
    </row>
    <row r="6" spans="1:5">
      <c r="A6" s="8" t="s">
        <v>44</v>
      </c>
      <c r="B6" s="8" t="s">
        <v>45</v>
      </c>
      <c r="C6" s="8"/>
      <c r="D6" s="8"/>
      <c r="E6">
        <f>C6*D6</f>
        <v>0</v>
      </c>
    </row>
    <row r="7" spans="1:5">
      <c r="A7" s="8" t="s">
        <v>46</v>
      </c>
      <c r="B7" s="8" t="s">
        <v>47</v>
      </c>
      <c r="C7" s="8"/>
      <c r="D7" s="8"/>
      <c r="E7">
        <f>C7*D7</f>
        <v>0</v>
      </c>
    </row>
    <row r="8" spans="1:5">
      <c r="A8" s="8" t="s">
        <v>48</v>
      </c>
      <c r="B8" s="8" t="s">
        <v>49</v>
      </c>
      <c r="C8" s="8"/>
      <c r="D8" s="8"/>
      <c r="E8">
        <f>C8*D8</f>
        <v>0</v>
      </c>
    </row>
    <row r="9" spans="1:5">
      <c r="A9" s="8" t="s">
        <v>50</v>
      </c>
      <c r="B9" s="8" t="s">
        <v>51</v>
      </c>
      <c r="C9" s="8"/>
      <c r="D9" s="8"/>
      <c r="E9">
        <f>C9*D9</f>
        <v>0</v>
      </c>
    </row>
    <row r="10" spans="1:5">
      <c r="A10" s="8" t="s">
        <v>52</v>
      </c>
      <c r="B10" s="8" t="s">
        <v>53</v>
      </c>
      <c r="C10" s="8"/>
      <c r="D10" s="8"/>
      <c r="E10">
        <f>C10*D10</f>
        <v>0</v>
      </c>
    </row>
    <row r="12" spans="1:5">
      <c r="A12" s="4" t="s">
        <v>54</v>
      </c>
      <c r="B12">
        <f>AVERAGE(E5:E10)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30.7109375" customWidth="1"/>
    <col min="2" max="2" width="18.7109375" customWidth="1"/>
    <col min="4" max="4" width="14.7109375" customWidth="1"/>
    <col min="5" max="6" width="16.7109375" customWidth="1"/>
  </cols>
  <sheetData>
    <row r="1" spans="1:6">
      <c r="A1" s="1" t="s">
        <v>55</v>
      </c>
    </row>
    <row r="2" spans="1:6">
      <c r="A2" s="2" t="s">
        <v>56</v>
      </c>
    </row>
    <row r="4" spans="1:6">
      <c r="A4" s="4" t="s">
        <v>4</v>
      </c>
      <c r="B4" s="5">
        <v>234.44</v>
      </c>
      <c r="D4" s="3" t="s">
        <v>64</v>
      </c>
      <c r="E4" s="3" t="s">
        <v>65</v>
      </c>
      <c r="F4" s="3" t="s">
        <v>66</v>
      </c>
    </row>
    <row r="5" spans="1:6">
      <c r="A5" s="4" t="s">
        <v>57</v>
      </c>
      <c r="B5" s="5">
        <v>117.22</v>
      </c>
      <c r="D5" s="4" t="s">
        <v>67</v>
      </c>
      <c r="E5">
        <f>B5</f>
        <v>0</v>
      </c>
      <c r="F5">
        <f>(E5-B4)/B4</f>
        <v>0</v>
      </c>
    </row>
    <row r="6" spans="1:6">
      <c r="A6" s="4" t="s">
        <v>58</v>
      </c>
      <c r="B6" s="5">
        <v>293.05</v>
      </c>
      <c r="D6" s="4" t="s">
        <v>68</v>
      </c>
      <c r="E6">
        <f>B6</f>
        <v>0</v>
      </c>
      <c r="F6">
        <f>(E6-B4)/B4</f>
        <v>0</v>
      </c>
    </row>
    <row r="7" spans="1:6">
      <c r="A7" s="4" t="s">
        <v>59</v>
      </c>
      <c r="B7" s="5">
        <v>468.88</v>
      </c>
      <c r="D7" s="4" t="s">
        <v>69</v>
      </c>
      <c r="E7">
        <f>B7</f>
        <v>0</v>
      </c>
      <c r="F7">
        <f>(E7-B4)/B4</f>
        <v>0</v>
      </c>
    </row>
    <row r="8" spans="1:6">
      <c r="A8" s="4" t="s">
        <v>60</v>
      </c>
      <c r="B8" s="9">
        <v>0.2</v>
      </c>
    </row>
    <row r="9" spans="1:6">
      <c r="A9" s="4" t="s">
        <v>61</v>
      </c>
      <c r="B9" s="9">
        <v>0.5</v>
      </c>
      <c r="D9" s="4" t="s">
        <v>70</v>
      </c>
      <c r="E9" s="9">
        <f>F5*B8+F6*B9+F7*B10</f>
        <v>0</v>
      </c>
    </row>
    <row r="10" spans="1:6">
      <c r="A10" s="4" t="s">
        <v>62</v>
      </c>
      <c r="B10" s="9">
        <v>0.3</v>
      </c>
    </row>
    <row r="11" spans="1:6">
      <c r="A11" s="4" t="s">
        <v>63</v>
      </c>
      <c r="B11" s="7">
        <v>12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cols>
    <col min="1" max="1" width="80.7109375" customWidth="1"/>
  </cols>
  <sheetData>
    <row r="1" spans="1:1">
      <c r="A1" s="1" t="s">
        <v>71</v>
      </c>
    </row>
    <row r="3" spans="1:1">
      <c r="A3" s="3" t="s">
        <v>72</v>
      </c>
    </row>
    <row r="4" spans="1:1">
      <c r="A4" s="8" t="s">
        <v>73</v>
      </c>
    </row>
    <row r="7" spans="1:1">
      <c r="A7" s="3" t="s">
        <v>74</v>
      </c>
    </row>
    <row r="8" spans="1:1">
      <c r="A8" s="8" t="s">
        <v>75</v>
      </c>
    </row>
    <row r="13" spans="1:1">
      <c r="A13" s="3" t="s">
        <v>76</v>
      </c>
    </row>
    <row r="14" spans="1:1">
      <c r="A14" s="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1-Overview</vt:lpstr>
      <vt:lpstr>2-Tokenomics</vt:lpstr>
      <vt:lpstr>3-Ecosystem_Usage</vt:lpstr>
      <vt:lpstr>4-Financials</vt:lpstr>
      <vt:lpstr>5-Risks</vt:lpstr>
      <vt:lpstr>6-Scenarios</vt:lpstr>
      <vt:lpstr>7-Personal_Notes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2025-09-17T13:26:17Z</dcterms:created>
  <dcterms:modified xsi:type="dcterms:W3CDTF">2025-09-17T13:26:17Z</dcterms:modified>
</cp:coreProperties>
</file>